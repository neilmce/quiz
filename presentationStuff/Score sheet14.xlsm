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5600" windowHeight="6465"/>
  </bookViews>
  <sheets>
    <sheet name="Sheet1" sheetId="1" r:id="rId1"/>
    <sheet name="Sheet2" sheetId="2" r:id="rId2"/>
    <sheet name="Sheet3" sheetId="3" r:id="rId3"/>
  </sheets>
  <calcPr calcId="145621" concurrentCalc="0"/>
</workbook>
</file>

<file path=xl/calcChain.xml><?xml version="1.0" encoding="utf-8"?>
<calcChain xmlns="http://schemas.openxmlformats.org/spreadsheetml/2006/main">
  <c r="O3" i="1" l="1"/>
  <c r="P3" i="1"/>
  <c r="C3" i="1"/>
  <c r="O5" i="1"/>
  <c r="P5" i="1"/>
  <c r="C5" i="1"/>
  <c r="O7" i="1"/>
  <c r="P7" i="1"/>
  <c r="C7" i="1"/>
  <c r="O9" i="1"/>
  <c r="P9" i="1"/>
  <c r="C9" i="1"/>
  <c r="O15" i="1"/>
  <c r="P15" i="1"/>
  <c r="C15" i="1"/>
  <c r="O6" i="1"/>
  <c r="P6" i="1"/>
  <c r="C6" i="1"/>
  <c r="O14" i="1"/>
  <c r="P14" i="1"/>
  <c r="C14" i="1"/>
  <c r="O4" i="1"/>
  <c r="P4" i="1"/>
  <c r="C4" i="1"/>
  <c r="O11" i="1"/>
  <c r="P11" i="1"/>
  <c r="C11" i="1"/>
  <c r="O12" i="1"/>
  <c r="P12" i="1"/>
  <c r="C12" i="1"/>
  <c r="O10" i="1"/>
  <c r="P10" i="1"/>
  <c r="C10" i="1"/>
  <c r="O13" i="1"/>
  <c r="P13" i="1"/>
  <c r="C13" i="1"/>
  <c r="O2" i="1"/>
  <c r="P2" i="1"/>
  <c r="C2" i="1"/>
  <c r="O8" i="1"/>
  <c r="P8" i="1"/>
  <c r="C8" i="1"/>
  <c r="A3" i="1"/>
  <c r="A8" i="1"/>
  <c r="A2" i="1"/>
  <c r="A13" i="1"/>
  <c r="A10" i="1"/>
  <c r="A12" i="1"/>
  <c r="A11" i="1"/>
  <c r="A4" i="1"/>
  <c r="A14" i="1"/>
  <c r="A6" i="1"/>
  <c r="A15" i="1"/>
  <c r="A9" i="1"/>
  <c r="A7" i="1"/>
  <c r="A5" i="1"/>
</calcChain>
</file>

<file path=xl/sharedStrings.xml><?xml version="1.0" encoding="utf-8"?>
<sst xmlns="http://schemas.openxmlformats.org/spreadsheetml/2006/main" count="42" uniqueCount="31">
  <si>
    <t>TEAM NAME</t>
  </si>
  <si>
    <t>RANK</t>
  </si>
  <si>
    <t>TOTAL SCORE</t>
  </si>
  <si>
    <t>JOKER</t>
  </si>
  <si>
    <t>Aerial Photos</t>
  </si>
  <si>
    <t>Table Round</t>
  </si>
  <si>
    <t>That was the year that was</t>
  </si>
  <si>
    <t>General Knowledge</t>
  </si>
  <si>
    <t>Going for Gold</t>
  </si>
  <si>
    <t>What has a hazelnut in every bite?</t>
  </si>
  <si>
    <t>Knot Tonight dear!</t>
  </si>
  <si>
    <t>Knot again!</t>
  </si>
  <si>
    <t>Knot now!</t>
  </si>
  <si>
    <t>Awkward Introductions</t>
  </si>
  <si>
    <t>MINECRAFT IS MY BABYSITTER</t>
  </si>
  <si>
    <t>INTERRUPTING COW</t>
  </si>
  <si>
    <t>SQUIRRELS AT MY NUTS</t>
  </si>
  <si>
    <t>HEDGEHOG HOODLUMS</t>
  </si>
  <si>
    <t>HA HA WE TEACH YOUR KIDS!</t>
  </si>
  <si>
    <t>OFFICE OUTLAWS</t>
  </si>
  <si>
    <t>RUMBLETUMS</t>
  </si>
  <si>
    <t>THE LEFTOVERS</t>
  </si>
  <si>
    <t>PURPLE SENSATIONS</t>
  </si>
  <si>
    <t>BIG KNOBS &amp; BROOMSTICKS</t>
  </si>
  <si>
    <t>RICHARD WOULD KNOW THAT</t>
  </si>
  <si>
    <t>SIX PACK</t>
  </si>
  <si>
    <t>NO NAME, NO SHAME</t>
  </si>
  <si>
    <t>THE SMELLY BADGERS &amp; Ch Women</t>
  </si>
  <si>
    <t>h</t>
  </si>
  <si>
    <t>j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</si>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</sst>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ont="1" applyFill="1"/>
    <xf numFmtId="0" fontId="0" fillId="0" borderId="2" xfId="0" applyBorder="1"/>
    <xf numFmtId="0" fontId="6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/>
    </xf>
    <xf numFmtId="0" fontId="0" fillId="0" borderId="2" xfId="0" applyFill="1" applyBorder="1"/>
    <xf numFmtId="0" fontId="0" fillId="0" borderId="0" xfId="0" applyBorder="1"/>
    <xf numFmtId="0" fontId="7" fillId="0" borderId="2" xfId="0" applyFont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FFFF66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14</xdr:col>
      <xdr:colOff>138714</xdr:colOff>
      <xdr:row>1</xdr:row>
      <xdr:rowOff>83228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655" y="157206"/>
          <a:ext cx="749053" cy="7490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5"/>
  <sheetViews>
    <sheetView showGridLines="0" tabSelected="1" zoomScale="80" zoomScaleNormal="80" workbookViewId="0">
      <selection activeCell="M16" sqref="M16"/>
    </sheetView>
  </sheetViews>
  <sheetFormatPr defaultRowHeight="15" x14ac:dyDescent="0.25"/>
  <cols>
    <col min="1" max="1" width="8.85546875" style="3" customWidth="1"/>
    <col min="2" max="2" width="31.5703125" customWidth="1"/>
    <col min="3" max="3" width="10.5703125" customWidth="1"/>
    <col min="6" max="6" width="10" customWidth="1"/>
    <col min="7" max="7" width="6.85546875" customWidth="1"/>
    <col min="8" max="8" width="10" customWidth="1"/>
    <col min="9" max="9" width="8" customWidth="1"/>
    <col min="10" max="10" width="12" customWidth="1"/>
    <col min="11" max="11" width="11.5703125" customWidth="1"/>
    <col min="12" max="12" width="13.140625" customWidth="1"/>
    <col min="13" max="13" width="11.85546875" customWidth="1"/>
    <col min="15" max="16" width="5.85546875" bestFit="1" customWidth="1"/>
  </cols>
  <sheetData>
    <row r="1" spans="1:17" s="1" customFormat="1" ht="52.5" customHeight="1" x14ac:dyDescent="0.3">
      <c r="A1" s="6" t="s">
        <v>1</v>
      </c>
      <c r="B1" s="12" t="s">
        <v>0</v>
      </c>
      <c r="C1" s="11" t="s">
        <v>2</v>
      </c>
      <c r="D1" s="11" t="s">
        <v>4</v>
      </c>
      <c r="E1" s="11" t="s">
        <v>5</v>
      </c>
      <c r="F1" s="11" t="s">
        <v>6</v>
      </c>
      <c r="G1" s="10" t="s">
        <v>12</v>
      </c>
      <c r="H1" s="11" t="s">
        <v>8</v>
      </c>
      <c r="I1" s="10" t="s">
        <v>11</v>
      </c>
      <c r="J1" s="11" t="s">
        <v>9</v>
      </c>
      <c r="K1" s="10" t="s">
        <v>10</v>
      </c>
      <c r="L1" s="11" t="s">
        <v>13</v>
      </c>
      <c r="M1" s="11" t="s">
        <v>7</v>
      </c>
      <c r="N1" s="9" t="s">
        <v>3</v>
      </c>
      <c r="O1" s="2"/>
    </row>
    <row r="2" spans="1:17" ht="26.25" x14ac:dyDescent="0.4">
      <c r="A2" s="5">
        <f ca="1">_xlfn.RANK.EQ(C2,$C$2:$C$15)</f>
        <v>1</v>
      </c>
      <c r="B2" s="8" t="s">
        <v>16</v>
      </c>
      <c r="C2" s="15">
        <f ca="1">SUM(D2:M2) + P2</f>
        <v>90.5</v>
      </c>
      <c r="D2" s="16">
        <v>9</v>
      </c>
      <c r="E2" s="17">
        <v>20</v>
      </c>
      <c r="F2" s="17">
        <v>9</v>
      </c>
      <c r="G2" s="17">
        <v>2</v>
      </c>
      <c r="H2" s="17">
        <v>7</v>
      </c>
      <c r="I2" s="17">
        <v>2</v>
      </c>
      <c r="J2" s="17">
        <v>8</v>
      </c>
      <c r="K2" s="17">
        <v>2</v>
      </c>
      <c r="L2" s="17">
        <v>9.5</v>
      </c>
      <c r="M2" s="17">
        <v>15</v>
      </c>
      <c r="N2" s="18" t="s">
        <v>28</v>
      </c>
      <c r="O2" s="4" t="str">
        <f ca="1">CELL("contents",N2) &amp; ROW()</f>
        <v>h2</v>
      </c>
      <c r="P2" s="4">
        <f ca="1">IFERROR(INDIRECT(O2),0)</f>
        <v>7</v>
      </c>
    </row>
    <row r="3" spans="1:17" ht="26.25" x14ac:dyDescent="0.4">
      <c r="A3" s="5">
        <f ca="1">_xlfn.RANK.EQ(C3,$C$2:$C$15)</f>
        <v>1</v>
      </c>
      <c r="B3" s="8" t="s">
        <v>14</v>
      </c>
      <c r="C3" s="15">
        <f ca="1">SUM(D3:M3) + P3</f>
        <v>90.5</v>
      </c>
      <c r="D3" s="16">
        <v>9.5</v>
      </c>
      <c r="E3" s="17">
        <v>19</v>
      </c>
      <c r="F3" s="17">
        <v>8</v>
      </c>
      <c r="G3" s="17">
        <v>2</v>
      </c>
      <c r="H3" s="17">
        <v>5</v>
      </c>
      <c r="I3" s="17">
        <v>2</v>
      </c>
      <c r="J3" s="17">
        <v>8</v>
      </c>
      <c r="K3" s="17">
        <v>2</v>
      </c>
      <c r="L3" s="17">
        <v>10</v>
      </c>
      <c r="M3" s="17">
        <v>17</v>
      </c>
      <c r="N3" s="18" t="s">
        <v>29</v>
      </c>
      <c r="O3" s="4" t="str">
        <f ca="1">CELL("contents",N3) &amp; ROW()</f>
        <v>j3</v>
      </c>
      <c r="P3" s="4">
        <f ca="1">IFERROR(INDIRECT(O3),0)</f>
        <v>8</v>
      </c>
      <c r="Q3" s="7"/>
    </row>
    <row r="4" spans="1:17" ht="26.25" x14ac:dyDescent="0.4">
      <c r="A4" s="5">
        <f ca="1">_xlfn.RANK.EQ(C4,$C$2:$C$15)</f>
        <v>3</v>
      </c>
      <c r="B4" s="8" t="s">
        <v>21</v>
      </c>
      <c r="C4" s="15">
        <f ca="1">SUM(D4:M4) + P4</f>
        <v>83</v>
      </c>
      <c r="D4" s="21">
        <v>7.5</v>
      </c>
      <c r="E4" s="15">
        <v>18</v>
      </c>
      <c r="F4" s="15">
        <v>7</v>
      </c>
      <c r="G4" s="15">
        <v>2</v>
      </c>
      <c r="H4" s="17">
        <v>6</v>
      </c>
      <c r="I4" s="17">
        <v>2</v>
      </c>
      <c r="J4" s="17">
        <v>5.5</v>
      </c>
      <c r="K4" s="17">
        <v>2</v>
      </c>
      <c r="L4" s="17">
        <v>9.5</v>
      </c>
      <c r="M4" s="17">
        <v>14</v>
      </c>
      <c r="N4" s="18" t="s">
        <v>30</v>
      </c>
      <c r="O4" s="4" t="str">
        <f ca="1">CELL("contents",N4) &amp; ROW()</f>
        <v>l4</v>
      </c>
      <c r="P4" s="4">
        <f ca="1">IFERROR(INDIRECT(O4),0)</f>
        <v>9.5</v>
      </c>
    </row>
    <row r="5" spans="1:17" ht="26.25" x14ac:dyDescent="0.4">
      <c r="A5" s="5">
        <f ca="1">_xlfn.RANK.EQ(C5,$C$2:$C$15)</f>
        <v>4</v>
      </c>
      <c r="B5" s="8" t="s">
        <v>26</v>
      </c>
      <c r="C5" s="15">
        <f ca="1">SUM(D5:M5) + P5</f>
        <v>82.5</v>
      </c>
      <c r="D5" s="19">
        <v>7.5</v>
      </c>
      <c r="E5" s="20">
        <v>17</v>
      </c>
      <c r="F5" s="20">
        <v>8</v>
      </c>
      <c r="G5" s="20">
        <v>2</v>
      </c>
      <c r="H5" s="20">
        <v>5</v>
      </c>
      <c r="I5" s="20">
        <v>2</v>
      </c>
      <c r="J5" s="20">
        <v>7</v>
      </c>
      <c r="K5" s="20">
        <v>2</v>
      </c>
      <c r="L5" s="20">
        <v>9</v>
      </c>
      <c r="M5" s="20">
        <v>14</v>
      </c>
      <c r="N5" s="18" t="s">
        <v>30</v>
      </c>
      <c r="O5" s="4" t="str">
        <f ca="1">CELL("contents",N5) &amp; ROW()</f>
        <v>l5</v>
      </c>
      <c r="P5" s="4">
        <f ca="1">IFERROR(INDIRECT(O5),0)</f>
        <v>9</v>
      </c>
    </row>
    <row r="6" spans="1:17" ht="26.25" x14ac:dyDescent="0.4">
      <c r="A6" s="5">
        <f ca="1">_xlfn.RANK.EQ(C6,$C$2:$C$15)</f>
        <v>5</v>
      </c>
      <c r="B6" s="14" t="s">
        <v>22</v>
      </c>
      <c r="C6" s="15">
        <f ca="1">SUM(D6:M6) + P6</f>
        <v>81.5</v>
      </c>
      <c r="D6" s="21">
        <v>9.5</v>
      </c>
      <c r="E6" s="15">
        <v>17</v>
      </c>
      <c r="F6" s="15">
        <v>8</v>
      </c>
      <c r="G6" s="15">
        <v>2</v>
      </c>
      <c r="H6" s="17">
        <v>6</v>
      </c>
      <c r="I6" s="17">
        <v>2</v>
      </c>
      <c r="J6" s="17">
        <v>8</v>
      </c>
      <c r="K6" s="17">
        <v>2</v>
      </c>
      <c r="L6" s="17">
        <v>7</v>
      </c>
      <c r="M6" s="17">
        <v>13</v>
      </c>
      <c r="N6" s="18" t="s">
        <v>30</v>
      </c>
      <c r="O6" s="4" t="str">
        <f ca="1">CELL("contents",N6) &amp; ROW()</f>
        <v>l6</v>
      </c>
      <c r="P6" s="4">
        <f ca="1">IFERROR(INDIRECT(O6),0)</f>
        <v>7</v>
      </c>
    </row>
    <row r="7" spans="1:17" ht="26.25" x14ac:dyDescent="0.4">
      <c r="A7" s="5">
        <f ca="1">_xlfn.RANK.EQ(C7,$C$2:$C$15)</f>
        <v>6</v>
      </c>
      <c r="B7" s="8" t="s">
        <v>25</v>
      </c>
      <c r="C7" s="15">
        <f ca="1">SUM(D7:M7) + P7</f>
        <v>78</v>
      </c>
      <c r="D7" s="19">
        <v>6</v>
      </c>
      <c r="E7" s="20">
        <v>19</v>
      </c>
      <c r="F7" s="20">
        <v>9</v>
      </c>
      <c r="G7" s="20">
        <v>2</v>
      </c>
      <c r="H7" s="20">
        <v>7</v>
      </c>
      <c r="I7" s="20">
        <v>2</v>
      </c>
      <c r="J7" s="20">
        <v>7</v>
      </c>
      <c r="K7" s="20">
        <v>2</v>
      </c>
      <c r="L7" s="20">
        <v>5</v>
      </c>
      <c r="M7" s="20">
        <v>12</v>
      </c>
      <c r="N7" s="18" t="s">
        <v>28</v>
      </c>
      <c r="O7" s="4" t="str">
        <f ca="1">CELL("contents",N7) &amp; ROW()</f>
        <v>h7</v>
      </c>
      <c r="P7" s="4">
        <f ca="1">IFERROR(INDIRECT(O7),0)</f>
        <v>7</v>
      </c>
    </row>
    <row r="8" spans="1:17" ht="26.25" x14ac:dyDescent="0.4">
      <c r="A8" s="5">
        <f ca="1">_xlfn.RANK.EQ(C8,$C$2:$C$15)</f>
        <v>7</v>
      </c>
      <c r="B8" s="8" t="s">
        <v>15</v>
      </c>
      <c r="C8" s="15">
        <f ca="1">SUM(D8:M8) + P8</f>
        <v>76.5</v>
      </c>
      <c r="D8" s="21">
        <v>7</v>
      </c>
      <c r="E8" s="15">
        <v>19</v>
      </c>
      <c r="F8" s="15">
        <v>9</v>
      </c>
      <c r="G8" s="15">
        <v>2</v>
      </c>
      <c r="H8" s="17">
        <v>5</v>
      </c>
      <c r="I8" s="17">
        <v>2</v>
      </c>
      <c r="J8" s="17">
        <v>5</v>
      </c>
      <c r="K8" s="17">
        <v>2</v>
      </c>
      <c r="L8" s="17">
        <v>6.5</v>
      </c>
      <c r="M8" s="17">
        <v>14</v>
      </c>
      <c r="N8" s="18" t="s">
        <v>29</v>
      </c>
      <c r="O8" s="4" t="str">
        <f ca="1">CELL("contents",N8) &amp; ROW()</f>
        <v>j8</v>
      </c>
      <c r="P8" s="4">
        <f ca="1">IFERROR(INDIRECT(O8),0)</f>
        <v>5</v>
      </c>
    </row>
    <row r="9" spans="1:17" ht="26.25" x14ac:dyDescent="0.4">
      <c r="A9" s="5">
        <f ca="1">_xlfn.RANK.EQ(C9,$C$2:$C$15)</f>
        <v>8</v>
      </c>
      <c r="B9" s="8" t="s">
        <v>24</v>
      </c>
      <c r="C9" s="15">
        <f ca="1">SUM(D9:M9) + P9</f>
        <v>75</v>
      </c>
      <c r="D9" s="19">
        <v>7</v>
      </c>
      <c r="E9" s="20">
        <v>16</v>
      </c>
      <c r="F9" s="20">
        <v>7</v>
      </c>
      <c r="G9" s="20">
        <v>2</v>
      </c>
      <c r="H9" s="20">
        <v>5</v>
      </c>
      <c r="I9" s="20">
        <v>2</v>
      </c>
      <c r="J9" s="20">
        <v>4</v>
      </c>
      <c r="K9" s="20">
        <v>2</v>
      </c>
      <c r="L9" s="20">
        <v>8</v>
      </c>
      <c r="M9" s="20">
        <v>14</v>
      </c>
      <c r="N9" s="18" t="s">
        <v>30</v>
      </c>
      <c r="O9" s="4" t="str">
        <f ca="1">CELL("contents",N9) &amp; ROW()</f>
        <v>l9</v>
      </c>
      <c r="P9" s="4">
        <f ca="1">IFERROR(INDIRECT(O9),0)</f>
        <v>8</v>
      </c>
    </row>
    <row r="10" spans="1:17" ht="26.25" x14ac:dyDescent="0.4">
      <c r="A10" s="5">
        <f ca="1">_xlfn.RANK.EQ(C10,$C$2:$C$15)</f>
        <v>9</v>
      </c>
      <c r="B10" s="13" t="s">
        <v>18</v>
      </c>
      <c r="C10" s="15">
        <f ca="1">SUM(D10:M10) + P10</f>
        <v>74.5</v>
      </c>
      <c r="D10" s="16">
        <v>8</v>
      </c>
      <c r="E10" s="17">
        <v>14</v>
      </c>
      <c r="F10" s="17">
        <v>9</v>
      </c>
      <c r="G10" s="17">
        <v>2</v>
      </c>
      <c r="H10" s="17">
        <v>6</v>
      </c>
      <c r="I10" s="17">
        <v>2</v>
      </c>
      <c r="J10" s="17">
        <v>5</v>
      </c>
      <c r="K10" s="17">
        <v>2</v>
      </c>
      <c r="L10" s="17">
        <v>5.5</v>
      </c>
      <c r="M10" s="17">
        <v>15</v>
      </c>
      <c r="N10" s="18" t="s">
        <v>28</v>
      </c>
      <c r="O10" s="4" t="str">
        <f ca="1">CELL("contents",N10) &amp; ROW()</f>
        <v>h10</v>
      </c>
      <c r="P10" s="4">
        <f ca="1">IFERROR(INDIRECT(O10),0)</f>
        <v>6</v>
      </c>
    </row>
    <row r="11" spans="1:17" ht="26.25" x14ac:dyDescent="0.4">
      <c r="A11" s="5">
        <f ca="1">_xlfn.RANK.EQ(C11,$C$2:$C$15)</f>
        <v>10</v>
      </c>
      <c r="B11" s="8" t="s">
        <v>20</v>
      </c>
      <c r="C11" s="15">
        <f ca="1">SUM(D11:M11) + P11</f>
        <v>74</v>
      </c>
      <c r="D11" s="16">
        <v>8.5</v>
      </c>
      <c r="E11" s="17">
        <v>16</v>
      </c>
      <c r="F11" s="17">
        <v>7</v>
      </c>
      <c r="G11" s="17">
        <v>2</v>
      </c>
      <c r="H11" s="17">
        <v>7</v>
      </c>
      <c r="I11" s="17">
        <v>2</v>
      </c>
      <c r="J11" s="17">
        <v>7</v>
      </c>
      <c r="K11" s="17">
        <v>2</v>
      </c>
      <c r="L11" s="17">
        <v>1.5</v>
      </c>
      <c r="M11" s="17">
        <v>14</v>
      </c>
      <c r="N11" s="18" t="s">
        <v>28</v>
      </c>
      <c r="O11" s="4" t="str">
        <f ca="1">CELL("contents",N11) &amp; ROW()</f>
        <v>h11</v>
      </c>
      <c r="P11" s="4">
        <f ca="1">IFERROR(INDIRECT(O11),0)</f>
        <v>7</v>
      </c>
    </row>
    <row r="12" spans="1:17" ht="24.75" customHeight="1" x14ac:dyDescent="0.4">
      <c r="A12" s="5">
        <f ca="1">_xlfn.RANK.EQ(C12,$C$2:$C$15)</f>
        <v>11</v>
      </c>
      <c r="B12" s="8" t="s">
        <v>19</v>
      </c>
      <c r="C12" s="15">
        <f ca="1">SUM(D12:M12) + P12</f>
        <v>71.5</v>
      </c>
      <c r="D12" s="16">
        <v>7</v>
      </c>
      <c r="E12" s="17">
        <v>18</v>
      </c>
      <c r="F12" s="17">
        <v>8</v>
      </c>
      <c r="G12" s="17">
        <v>2</v>
      </c>
      <c r="H12" s="17">
        <v>4</v>
      </c>
      <c r="I12" s="17">
        <v>2</v>
      </c>
      <c r="J12" s="17">
        <v>3.5</v>
      </c>
      <c r="K12" s="17">
        <v>2</v>
      </c>
      <c r="L12" s="17">
        <v>5.5</v>
      </c>
      <c r="M12" s="17">
        <v>14</v>
      </c>
      <c r="N12" s="18" t="s">
        <v>30</v>
      </c>
      <c r="O12" s="4" t="str">
        <f ca="1">CELL("contents",N12) &amp; ROW()</f>
        <v>l12</v>
      </c>
      <c r="P12" s="4">
        <f ca="1">IFERROR(INDIRECT(O12),0)</f>
        <v>5.5</v>
      </c>
    </row>
    <row r="13" spans="1:17" ht="24" customHeight="1" x14ac:dyDescent="0.4">
      <c r="A13" s="5">
        <f ca="1">_xlfn.RANK.EQ(C13,$C$2:$C$15)</f>
        <v>12</v>
      </c>
      <c r="B13" s="8" t="s">
        <v>17</v>
      </c>
      <c r="C13" s="15">
        <f ca="1">SUM(D13:M13) + P13</f>
        <v>70.5</v>
      </c>
      <c r="D13" s="16">
        <v>7</v>
      </c>
      <c r="E13" s="17">
        <v>16</v>
      </c>
      <c r="F13" s="17">
        <v>8</v>
      </c>
      <c r="G13" s="17">
        <v>2</v>
      </c>
      <c r="H13" s="17">
        <v>5</v>
      </c>
      <c r="I13" s="17">
        <v>2</v>
      </c>
      <c r="J13" s="17">
        <v>5</v>
      </c>
      <c r="K13" s="17">
        <v>2</v>
      </c>
      <c r="L13" s="17">
        <v>6.5</v>
      </c>
      <c r="M13" s="17">
        <v>12</v>
      </c>
      <c r="N13" s="18" t="s">
        <v>29</v>
      </c>
      <c r="O13" s="4" t="str">
        <f ca="1">CELL("contents",N13) &amp; ROW()</f>
        <v>j13</v>
      </c>
      <c r="P13" s="4">
        <f ca="1">IFERROR(INDIRECT(O13),0)</f>
        <v>5</v>
      </c>
    </row>
    <row r="14" spans="1:17" ht="27" customHeight="1" x14ac:dyDescent="0.4">
      <c r="A14" s="5">
        <f ca="1">_xlfn.RANK.EQ(C14,$C$2:$C$15)</f>
        <v>13</v>
      </c>
      <c r="B14" s="8" t="s">
        <v>27</v>
      </c>
      <c r="C14" s="15">
        <f ca="1">SUM(D14:M14) + P14</f>
        <v>68.5</v>
      </c>
      <c r="D14" s="21">
        <v>6.5</v>
      </c>
      <c r="E14" s="15">
        <v>16</v>
      </c>
      <c r="F14" s="15">
        <v>5</v>
      </c>
      <c r="G14" s="15">
        <v>2</v>
      </c>
      <c r="H14" s="17">
        <v>5</v>
      </c>
      <c r="I14" s="17">
        <v>2</v>
      </c>
      <c r="J14" s="17">
        <v>6</v>
      </c>
      <c r="K14" s="17">
        <v>2</v>
      </c>
      <c r="L14" s="17">
        <v>7.5</v>
      </c>
      <c r="M14" s="17">
        <v>9</v>
      </c>
      <c r="N14" s="18" t="s">
        <v>30</v>
      </c>
      <c r="O14" s="4" t="str">
        <f ca="1">CELL("contents",N14) &amp; ROW()</f>
        <v>l14</v>
      </c>
      <c r="P14" s="4">
        <f ca="1">IFERROR(INDIRECT(O14),0)</f>
        <v>7.5</v>
      </c>
    </row>
    <row r="15" spans="1:17" ht="27" customHeight="1" x14ac:dyDescent="0.4">
      <c r="A15" s="5">
        <f ca="1">_xlfn.RANK.EQ(C15,$C$2:$C$15)</f>
        <v>14</v>
      </c>
      <c r="B15" s="8" t="s">
        <v>23</v>
      </c>
      <c r="C15" s="15">
        <f ca="1">SUM(D15:M15) + P15</f>
        <v>67</v>
      </c>
      <c r="D15" s="21">
        <v>6.5</v>
      </c>
      <c r="E15" s="15">
        <v>16</v>
      </c>
      <c r="F15" s="15">
        <v>7</v>
      </c>
      <c r="G15" s="15">
        <v>2</v>
      </c>
      <c r="H15" s="17">
        <v>5</v>
      </c>
      <c r="I15" s="17">
        <v>2</v>
      </c>
      <c r="J15" s="17">
        <v>4</v>
      </c>
      <c r="K15" s="17">
        <v>2</v>
      </c>
      <c r="L15" s="17">
        <v>5.5</v>
      </c>
      <c r="M15" s="17">
        <v>13</v>
      </c>
      <c r="N15" s="18" t="s">
        <v>29</v>
      </c>
      <c r="O15" s="4" t="str">
        <f ca="1">CELL("contents",N15) &amp; ROW()</f>
        <v>j15</v>
      </c>
      <c r="P15" s="4">
        <f ca="1">IFERROR(INDIRECT(O15),0)</f>
        <v>4</v>
      </c>
    </row>
  </sheetData>
  <sortState ref="A2:P15">
    <sortCondition descending="1" ref="C2"/>
  </sortState>
  <conditionalFormatting sqref="C2:C15">
    <cfRule type="top10" dxfId="1" priority="17" rank="3"/>
  </conditionalFormatting>
  <conditionalFormatting sqref="A2:A15">
    <cfRule type="duplicateValues" dxfId="0" priority="18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 n Nick Cross</dc:creator>
  <cp:lastModifiedBy>Rach n Nick Cross</cp:lastModifiedBy>
  <dcterms:created xsi:type="dcterms:W3CDTF">2013-09-26T13:58:15Z</dcterms:created>
  <dcterms:modified xsi:type="dcterms:W3CDTF">2014-10-10T22:31:18Z</dcterms:modified>
</cp:coreProperties>
</file>